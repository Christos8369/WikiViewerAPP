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filterPrivacy="1" codeName="ThisWorkbook"/>
  <xr:revisionPtr revIDLastSave="0" documentId="8_{F82C5351-AE2F-4389-A7AF-B474E502F87F}" xr6:coauthVersionLast="47" xr6:coauthVersionMax="47" xr10:uidLastSave="{00000000-0000-0000-0000-000000000000}"/>
  <bookViews>
    <workbookView xWindow="-25170" yWindow="3075" windowWidth="22455" windowHeight="12990" xr2:uid="{00000000-000D-0000-FFFF-FFFF00000000}"/>
  </bookViews>
  <sheets>
    <sheet name="To Do List" sheetId="1" r:id="rId1"/>
  </sheets>
  <definedNames>
    <definedName name="HighlightActivities">'To Do List'!$G$5</definedName>
    <definedName name="lstToDoHighlights">#REF!</definedName>
    <definedName name="_xlnm.Print_Area" localSheetId="0">'To Do List'!$A$1:$H$25</definedName>
    <definedName name="Print_Area_Reset">OFFSET('To Do List'!$A:$H,0,0,COUNTA('To Do List'!$B:$B)+5)</definedName>
    <definedName name="valHEnd">#REF!</definedName>
    <definedName name="valHSta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F15" i="1"/>
  <c r="F28" i="1" l="1"/>
  <c r="F42" i="1" s="1"/>
  <c r="E28" i="1"/>
  <c r="E42" i="1" s="1"/>
</calcChain>
</file>

<file path=xl/sharedStrings.xml><?xml version="1.0" encoding="utf-8"?>
<sst xmlns="http://schemas.openxmlformats.org/spreadsheetml/2006/main" count="165" uniqueCount="101">
  <si>
    <t xml:space="preserve"> </t>
  </si>
  <si>
    <t>Product backlog</t>
  </si>
  <si>
    <t>To be completed by:</t>
  </si>
  <si>
    <t>Deadline:</t>
  </si>
  <si>
    <t>Project : Wikiviewer app</t>
  </si>
  <si>
    <t>A/A</t>
  </si>
  <si>
    <t>Activity code</t>
  </si>
  <si>
    <t>Περιγραφή</t>
  </si>
  <si>
    <t>Sprint</t>
  </si>
  <si>
    <t>Εκτίμηση σε ώρες</t>
  </si>
  <si>
    <t xml:space="preserve">Ώρες που χρειάστηκαν / δαπανήθηκαν </t>
  </si>
  <si>
    <t xml:space="preserve">Προτεραιότητα </t>
  </si>
  <si>
    <t>έναρξη</t>
  </si>
  <si>
    <t>Λήξη</t>
  </si>
  <si>
    <t>Ποσοστό περάτωσης</t>
  </si>
  <si>
    <t xml:space="preserve">Πραγματικές ανθρωποώρες ανά ημέρα </t>
  </si>
  <si>
    <t>SPRINT 1</t>
  </si>
  <si>
    <t>PR.1</t>
  </si>
  <si>
    <t xml:space="preserve">Ανάλυση Απαιτήσεων </t>
  </si>
  <si>
    <t>1: 01/02/26 - 13/02/26</t>
  </si>
  <si>
    <t>XL</t>
  </si>
  <si>
    <t xml:space="preserve">10 ώρες 1 ημέρα </t>
  </si>
  <si>
    <t>PR.2</t>
  </si>
  <si>
    <t>Σχεδιασμός σε επίπεδο υλοποίησης - αρχιτεκτονικής λογισμικού - αρχικοποίηση ΒΔ</t>
  </si>
  <si>
    <t>8 ώρες 1 ημέρα</t>
  </si>
  <si>
    <t>PR.3</t>
  </si>
  <si>
    <t xml:space="preserve">MEETING για συμφωνία ως προς τη δομή της εφαρμογής - υλοποίηση σχετικών διαγραμμάτων </t>
  </si>
  <si>
    <t>4 ώρες 1 ημέρα</t>
  </si>
  <si>
    <t>PR.4</t>
  </si>
  <si>
    <t>Εξοικείωση με βιβλιοθήκες - εργαλεία - μεθοδολογία SCRUM</t>
  </si>
  <si>
    <t>4 ώρες 5 ημέρες</t>
  </si>
  <si>
    <t>PR.5</t>
  </si>
  <si>
    <t xml:space="preserve">Επίλυση θεμάτων που ανάγονται σε συμβατότητες βιβλιοθηκών </t>
  </si>
  <si>
    <t xml:space="preserve">4 ώρες 5 ημέρες </t>
  </si>
  <si>
    <t>R1</t>
  </si>
  <si>
    <t>Δημιουργία του βασικού GUI</t>
  </si>
  <si>
    <t>S</t>
  </si>
  <si>
    <t>SPRINT 2</t>
  </si>
  <si>
    <t>PR.4 / PR.5</t>
  </si>
  <si>
    <t>Συνέχεια των ανωτέρω εργασιών λόγω μη περάτωσης στο προηγούμενο SPRINT</t>
  </si>
  <si>
    <t>2: 14/02/26 - 24/02/26</t>
  </si>
  <si>
    <t>6 ωρες 2 ημέρες</t>
  </si>
  <si>
    <t>R2.A</t>
  </si>
  <si>
    <t>Σύνδεση με το API</t>
  </si>
  <si>
    <t>4 ωρες 2 ημέρες</t>
  </si>
  <si>
    <t>R2.B</t>
  </si>
  <si>
    <t xml:space="preserve">Επεξεργασία των ληφθέντων JSON </t>
  </si>
  <si>
    <t xml:space="preserve">4 ώρες 2 ημέρες </t>
  </si>
  <si>
    <t>R2.C</t>
  </si>
  <si>
    <t>Υλοποίηση σχετικού GUI στο οποίο γίνεται η αναζήτηση</t>
  </si>
  <si>
    <t>M</t>
  </si>
  <si>
    <t>R2.D</t>
  </si>
  <si>
    <t>Υλοποίηση αναζήτησης άρθρου με βάση keyword</t>
  </si>
  <si>
    <t xml:space="preserve">6 ώρες 1 ημέρα + 2 ώρες 1 ημέρα </t>
  </si>
  <si>
    <t>R2.E</t>
  </si>
  <si>
    <t>Υλοποίησης προβολής λίστας άρθρων που φέρνει το API</t>
  </si>
  <si>
    <t xml:space="preserve">8 ωρες 1 ημέρα </t>
  </si>
  <si>
    <t>R2.F</t>
  </si>
  <si>
    <t>Υλοποίηση δυνατότητας προβολής του άρθρου</t>
  </si>
  <si>
    <t>R3</t>
  </si>
  <si>
    <t>Υλοποίηση δυνατότητας αποθήκευσης του άρθρου στην τοπική ΒΔ ( γίνεται κατά την προβολή R2.F )</t>
  </si>
  <si>
    <t>L</t>
  </si>
  <si>
    <t>R4.A</t>
  </si>
  <si>
    <t xml:space="preserve">Υλοποίηση σχετικού GUI στο οποίο γίνεται η προβολή αποθηκευμένων άρθρων </t>
  </si>
  <si>
    <t>6 ώρες 1 ημέρα</t>
  </si>
  <si>
    <t>R4.B</t>
  </si>
  <si>
    <t>Υλοποίηση δυνατότητας αναζήτησης με keyword για αποθηκευμένα άρθρα</t>
  </si>
  <si>
    <t>R4.C</t>
  </si>
  <si>
    <t xml:space="preserve">Υλοποίηση δυνατότητας αναζήτησης ανά κατηγορία για αποθηκευμένα άρθρα </t>
  </si>
  <si>
    <t xml:space="preserve">4 ωρες 1 ημέρα </t>
  </si>
  <si>
    <t>SPRINT 3</t>
  </si>
  <si>
    <t>R5.A</t>
  </si>
  <si>
    <t xml:space="preserve">Υλοποίηση δυνατότητας τροποποίησης λεπτομερειών άρθρου </t>
  </si>
  <si>
    <t>3: 24/02/25 - 03/03/26</t>
  </si>
  <si>
    <t>R5.B</t>
  </si>
  <si>
    <t>Προσφορά της δυνατότητας τροποίησης κατά την αναζήτηση άρθρου ως extend της (R2)</t>
  </si>
  <si>
    <t xml:space="preserve">8 ώρες 1 ημέρα </t>
  </si>
  <si>
    <t>R5.C</t>
  </si>
  <si>
    <t>προσφορά της δυνατότητας τροποίηση κατά την αναζήτηση άρθρου στη ΒΔ ( R4 )</t>
  </si>
  <si>
    <t>R6.A</t>
  </si>
  <si>
    <t xml:space="preserve">Υλοποίηση GUI για προβολή στατιστικών </t>
  </si>
  <si>
    <t xml:space="preserve">4 ώρες 1 ημέρα </t>
  </si>
  <si>
    <t>Υλοποίηση υπολογισμού στατιστικών πρρος προβολή</t>
  </si>
  <si>
    <t>R6.C</t>
  </si>
  <si>
    <t>Υλοποίηση αποθηκευσης σε αρχείο PDF</t>
  </si>
  <si>
    <t>MISC 1</t>
  </si>
  <si>
    <t xml:space="preserve">Διάγραμμα GHANT για τελική υποβολή </t>
  </si>
  <si>
    <t xml:space="preserve">2 ώρες 2 ημέρες </t>
  </si>
  <si>
    <t>MISC 2</t>
  </si>
  <si>
    <t xml:space="preserve">Διλαγραμμα burn down γιια τελική υποβολή </t>
  </si>
  <si>
    <t>MISC 3</t>
  </si>
  <si>
    <t>Δημιουργία user guide</t>
  </si>
  <si>
    <t>MISC 4</t>
  </si>
  <si>
    <t xml:space="preserve">Τελικός έλεγχος - DEMO </t>
  </si>
  <si>
    <t>MISC 5</t>
  </si>
  <si>
    <t>Δημιουργία video</t>
  </si>
  <si>
    <t>XS</t>
  </si>
  <si>
    <t>MISC 6</t>
  </si>
  <si>
    <t xml:space="preserve">Συγγραφή εργασίας - προς υποβολή εγγράφου </t>
  </si>
  <si>
    <t>8 ώρες 4 ημέρες</t>
  </si>
  <si>
    <t>ΣΥΝΟΛΟ ΩΡΩΝ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</si>
</sst>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6" formatCode="&quot;$&quot;#,##0.00"/>
  </numFmts>
  <fonts count="10">
    <font>
      <sz val="10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22"/>
      <color theme="0"/>
      <name val="Posterama"/>
      <family val="2"/>
      <scheme val="major"/>
    </font>
    <font>
      <b/>
      <sz val="18"/>
      <color theme="0"/>
      <name val="Posterama"/>
      <family val="1"/>
      <scheme val="major"/>
    </font>
    <font>
      <b/>
      <sz val="12"/>
      <color theme="1"/>
      <name val="Tahoma"/>
      <family val="2"/>
      <scheme val="minor"/>
    </font>
    <font>
      <sz val="48"/>
      <color theme="1"/>
      <name val="Tahoma"/>
      <family val="2"/>
      <scheme val="minor"/>
    </font>
    <font>
      <sz val="48"/>
      <color theme="1"/>
      <name val="Posterama"/>
      <family val="2"/>
      <scheme val="major"/>
    </font>
    <font>
      <b/>
      <sz val="16"/>
      <color theme="1"/>
      <name val="Tahoma"/>
      <family val="2"/>
      <scheme val="minor"/>
    </font>
    <font>
      <sz val="12"/>
      <color rgb="FF000000"/>
      <name val="Tahoma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99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14" fontId="1" fillId="0" borderId="0" xfId="0" applyNumberFormat="1" applyFont="1" applyAlignment="1">
      <alignment horizontal="left" vertical="center" indent="1"/>
    </xf>
    <xf numFmtId="0" fontId="5" fillId="4" borderId="0" xfId="0" applyFont="1" applyFill="1" applyAlignment="1">
      <alignment horizontal="left" indent="1"/>
    </xf>
    <xf numFmtId="0" fontId="1" fillId="4" borderId="0" xfId="0" applyFont="1" applyFill="1"/>
    <xf numFmtId="0" fontId="5" fillId="4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 indent="1"/>
    </xf>
    <xf numFmtId="0" fontId="1" fillId="4" borderId="0" xfId="0" applyFont="1" applyFill="1" applyAlignment="1">
      <alignment vertical="top"/>
    </xf>
    <xf numFmtId="14" fontId="1" fillId="4" borderId="0" xfId="0" applyNumberFormat="1" applyFont="1" applyFill="1" applyAlignment="1">
      <alignment horizontal="left" vertical="top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8" fillId="0" borderId="0" xfId="4" applyFont="1" applyFill="1" applyBorder="1" applyAlignment="1">
      <alignment horizontal="left" vertical="center" indent="1"/>
    </xf>
    <xf numFmtId="166" fontId="1" fillId="0" borderId="0" xfId="0" applyNumberFormat="1" applyFont="1" applyAlignment="1">
      <alignment horizontal="left" vertical="center" indent="1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 vertical="center" indent="1"/>
    </xf>
    <xf numFmtId="14" fontId="1" fillId="6" borderId="1" xfId="0" applyNumberFormat="1" applyFont="1" applyFill="1" applyBorder="1" applyAlignment="1">
      <alignment horizontal="left" vertical="center" indent="1"/>
    </xf>
    <xf numFmtId="0" fontId="1" fillId="6" borderId="1" xfId="1" applyNumberFormat="1" applyFont="1" applyFill="1" applyBorder="1" applyAlignment="1">
      <alignment horizontal="left" vertical="center" indent="1"/>
    </xf>
    <xf numFmtId="0" fontId="1" fillId="6" borderId="1" xfId="2" applyNumberFormat="1" applyFont="1" applyFill="1" applyBorder="1" applyAlignment="1">
      <alignment horizontal="right" vertical="center" indent="1"/>
    </xf>
    <xf numFmtId="16" fontId="1" fillId="6" borderId="1" xfId="0" applyNumberFormat="1" applyFont="1" applyFill="1" applyBorder="1" applyAlignment="1">
      <alignment horizontal="center" vertical="center" indent="1"/>
    </xf>
    <xf numFmtId="16" fontId="1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left" vertical="center" indent="1"/>
    </xf>
    <xf numFmtId="14" fontId="9" fillId="6" borderId="1" xfId="0" applyNumberFormat="1" applyFont="1" applyFill="1" applyBorder="1" applyAlignment="1">
      <alignment horizontal="left" vertical="center" indent="1"/>
    </xf>
    <xf numFmtId="0" fontId="9" fillId="6" borderId="1" xfId="2" applyNumberFormat="1" applyFont="1" applyFill="1" applyBorder="1" applyAlignment="1">
      <alignment horizontal="right" vertical="center" indent="1"/>
    </xf>
    <xf numFmtId="16" fontId="9" fillId="6" borderId="1" xfId="0" applyNumberFormat="1" applyFont="1" applyFill="1" applyBorder="1" applyAlignment="1">
      <alignment horizontal="center"/>
    </xf>
    <xf numFmtId="0" fontId="1" fillId="11" borderId="1" xfId="0" applyFont="1" applyFill="1" applyBorder="1"/>
    <xf numFmtId="0" fontId="9" fillId="11" borderId="1" xfId="0" applyFont="1" applyFill="1" applyBorder="1" applyAlignment="1">
      <alignment horizontal="left" vertical="center" indent="1"/>
    </xf>
    <xf numFmtId="14" fontId="9" fillId="11" borderId="1" xfId="0" applyNumberFormat="1" applyFont="1" applyFill="1" applyBorder="1" applyAlignment="1">
      <alignment horizontal="left" vertical="center" indent="1"/>
    </xf>
    <xf numFmtId="0" fontId="1" fillId="11" borderId="1" xfId="1" applyNumberFormat="1" applyFont="1" applyFill="1" applyBorder="1" applyAlignment="1">
      <alignment horizontal="left" vertical="center" indent="1"/>
    </xf>
    <xf numFmtId="0" fontId="9" fillId="11" borderId="1" xfId="2" applyNumberFormat="1" applyFont="1" applyFill="1" applyBorder="1" applyAlignment="1">
      <alignment horizontal="right" vertical="center" indent="1"/>
    </xf>
    <xf numFmtId="0" fontId="1" fillId="11" borderId="1" xfId="0" applyFont="1" applyFill="1" applyBorder="1" applyAlignment="1">
      <alignment horizontal="left" vertical="center" indent="1"/>
    </xf>
    <xf numFmtId="14" fontId="1" fillId="11" borderId="1" xfId="0" applyNumberFormat="1" applyFont="1" applyFill="1" applyBorder="1" applyAlignment="1">
      <alignment horizontal="left" vertical="center" indent="1"/>
    </xf>
    <xf numFmtId="0" fontId="1" fillId="11" borderId="1" xfId="2" applyNumberFormat="1" applyFont="1" applyFill="1" applyBorder="1" applyAlignment="1">
      <alignment horizontal="right" vertical="center" indent="1"/>
    </xf>
    <xf numFmtId="0" fontId="1" fillId="11" borderId="1" xfId="0" applyNumberFormat="1" applyFont="1" applyFill="1" applyBorder="1" applyAlignment="1">
      <alignment horizontal="right" vertical="center" indent="1"/>
    </xf>
    <xf numFmtId="16" fontId="9" fillId="11" borderId="1" xfId="0" applyNumberFormat="1" applyFont="1" applyFill="1" applyBorder="1" applyAlignment="1">
      <alignment horizontal="center"/>
    </xf>
    <xf numFmtId="16" fontId="1" fillId="11" borderId="1" xfId="0" applyNumberFormat="1" applyFont="1" applyFill="1" applyBorder="1" applyAlignment="1">
      <alignment horizontal="center"/>
    </xf>
    <xf numFmtId="0" fontId="1" fillId="12" borderId="1" xfId="0" applyFont="1" applyFill="1" applyBorder="1"/>
    <xf numFmtId="14" fontId="1" fillId="12" borderId="2" xfId="0" applyNumberFormat="1" applyFont="1" applyFill="1" applyBorder="1" applyAlignment="1">
      <alignment horizontal="left" vertical="center" indent="1"/>
    </xf>
    <xf numFmtId="0" fontId="1" fillId="12" borderId="2" xfId="0" applyNumberFormat="1" applyFont="1" applyFill="1" applyBorder="1" applyAlignment="1">
      <alignment horizontal="left" vertical="center" indent="1"/>
    </xf>
    <xf numFmtId="0" fontId="1" fillId="12" borderId="2" xfId="0" applyNumberFormat="1" applyFont="1" applyFill="1" applyBorder="1" applyAlignment="1">
      <alignment horizontal="right" vertical="center" indent="1"/>
    </xf>
    <xf numFmtId="0" fontId="1" fillId="12" borderId="2" xfId="0" applyFont="1" applyFill="1" applyBorder="1" applyAlignment="1">
      <alignment horizontal="left" vertical="center" indent="1"/>
    </xf>
    <xf numFmtId="0" fontId="1" fillId="12" borderId="2" xfId="0" applyFont="1" applyFill="1" applyBorder="1"/>
    <xf numFmtId="0" fontId="1" fillId="0" borderId="0" xfId="0" applyFont="1" applyBorder="1"/>
    <xf numFmtId="20" fontId="1" fillId="12" borderId="1" xfId="0" applyNumberFormat="1" applyFont="1" applyFill="1" applyBorder="1" applyAlignment="1">
      <alignment horizontal="left" vertical="center" indent="1"/>
    </xf>
    <xf numFmtId="16" fontId="1" fillId="12" borderId="2" xfId="0" applyNumberFormat="1" applyFont="1" applyFill="1" applyBorder="1"/>
    <xf numFmtId="10" fontId="1" fillId="12" borderId="3" xfId="0" applyNumberFormat="1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horizontal="left" vertical="center" indent="1"/>
    </xf>
    <xf numFmtId="0" fontId="1" fillId="7" borderId="1" xfId="0" applyFont="1" applyFill="1" applyBorder="1" applyAlignment="1">
      <alignment horizontal="right" vertical="center" inden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left" vertical="center" indent="1"/>
    </xf>
    <xf numFmtId="0" fontId="1" fillId="8" borderId="1" xfId="0" applyNumberFormat="1" applyFont="1" applyFill="1" applyBorder="1" applyAlignment="1">
      <alignment horizontal="left" vertical="center" indent="1"/>
    </xf>
    <xf numFmtId="0" fontId="1" fillId="8" borderId="1" xfId="0" applyNumberFormat="1" applyFont="1" applyFill="1" applyBorder="1" applyAlignment="1">
      <alignment horizontal="right" vertical="center" indent="1"/>
    </xf>
    <xf numFmtId="0" fontId="1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left" vertical="center" indent="1"/>
    </xf>
    <xf numFmtId="14" fontId="1" fillId="10" borderId="1" xfId="0" applyNumberFormat="1" applyFont="1" applyFill="1" applyBorder="1" applyAlignment="1">
      <alignment horizontal="left" vertical="center" indent="1"/>
    </xf>
    <xf numFmtId="0" fontId="1" fillId="10" borderId="1" xfId="1" applyNumberFormat="1" applyFont="1" applyFill="1" applyBorder="1" applyAlignment="1">
      <alignment horizontal="left" vertical="center" indent="1"/>
    </xf>
    <xf numFmtId="0" fontId="1" fillId="10" borderId="1" xfId="2" applyNumberFormat="1" applyFont="1" applyFill="1" applyBorder="1" applyAlignment="1">
      <alignment horizontal="right" vertical="center" indent="1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left" vertical="center" indent="1"/>
    </xf>
    <xf numFmtId="14" fontId="1" fillId="9" borderId="1" xfId="0" applyNumberFormat="1" applyFont="1" applyFill="1" applyBorder="1" applyAlignment="1">
      <alignment horizontal="left" vertical="center" indent="1"/>
    </xf>
    <xf numFmtId="0" fontId="1" fillId="9" borderId="1" xfId="0" applyNumberFormat="1" applyFont="1" applyFill="1" applyBorder="1" applyAlignment="1">
      <alignment horizontal="left" vertical="center" indent="1"/>
    </xf>
    <xf numFmtId="0" fontId="1" fillId="9" borderId="1" xfId="0" applyNumberFormat="1" applyFont="1" applyFill="1" applyBorder="1" applyAlignment="1">
      <alignment horizontal="right" vertical="center" indent="1"/>
    </xf>
    <xf numFmtId="0" fontId="1" fillId="9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left" vertical="center" indent="1"/>
    </xf>
    <xf numFmtId="14" fontId="1" fillId="12" borderId="1" xfId="0" applyNumberFormat="1" applyFont="1" applyFill="1" applyBorder="1" applyAlignment="1">
      <alignment horizontal="left" vertical="center" indent="1"/>
    </xf>
    <xf numFmtId="0" fontId="1" fillId="12" borderId="1" xfId="0" applyNumberFormat="1" applyFont="1" applyFill="1" applyBorder="1" applyAlignment="1">
      <alignment horizontal="right" vertical="center" indent="1"/>
    </xf>
    <xf numFmtId="16" fontId="1" fillId="12" borderId="1" xfId="0" applyNumberFormat="1" applyFont="1" applyFill="1" applyBorder="1"/>
    <xf numFmtId="0" fontId="1" fillId="12" borderId="1" xfId="0" applyFont="1" applyFill="1" applyBorder="1" applyAlignment="1">
      <alignment horizontal="center"/>
    </xf>
    <xf numFmtId="0" fontId="1" fillId="12" borderId="1" xfId="0" applyNumberFormat="1" applyFont="1" applyFill="1" applyBorder="1" applyAlignment="1">
      <alignment horizontal="left" vertical="center" indent="1"/>
    </xf>
    <xf numFmtId="0" fontId="1" fillId="1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3" borderId="0" xfId="0" applyFont="1" applyFill="1" applyBorder="1"/>
    <xf numFmtId="0" fontId="1" fillId="7" borderId="5" xfId="0" applyFont="1" applyFill="1" applyBorder="1" applyAlignment="1">
      <alignment vertical="center"/>
    </xf>
    <xf numFmtId="0" fontId="1" fillId="8" borderId="5" xfId="0" applyFont="1" applyFill="1" applyBorder="1"/>
    <xf numFmtId="0" fontId="1" fillId="0" borderId="0" xfId="0" applyFont="1" applyBorder="1" applyAlignment="1">
      <alignment horizontal="left" vertical="center" indent="1"/>
    </xf>
    <xf numFmtId="14" fontId="1" fillId="0" borderId="0" xfId="0" applyNumberFormat="1" applyFont="1" applyBorder="1" applyAlignment="1">
      <alignment horizontal="left" vertical="center" indent="1"/>
    </xf>
    <xf numFmtId="166" fontId="1" fillId="0" borderId="0" xfId="0" applyNumberFormat="1" applyFont="1" applyBorder="1" applyAlignment="1">
      <alignment horizontal="left" vertical="center" indent="1"/>
    </xf>
    <xf numFmtId="0" fontId="1" fillId="0" borderId="0" xfId="0" applyFont="1" applyBorder="1" applyAlignment="1">
      <alignment horizontal="right" vertical="center" indent="1"/>
    </xf>
    <xf numFmtId="166" fontId="1" fillId="13" borderId="6" xfId="0" applyNumberFormat="1" applyFont="1" applyFill="1" applyBorder="1" applyAlignment="1">
      <alignment horizontal="left" vertical="center" indent="1"/>
    </xf>
    <xf numFmtId="0" fontId="1" fillId="13" borderId="4" xfId="0" applyFont="1" applyFill="1" applyBorder="1" applyAlignment="1">
      <alignment horizontal="right" vertical="center" indent="1"/>
    </xf>
    <xf numFmtId="0" fontId="1" fillId="13" borderId="7" xfId="0" applyFont="1" applyFill="1" applyBorder="1" applyAlignment="1">
      <alignment horizontal="right" vertical="center" indent="1"/>
    </xf>
    <xf numFmtId="0" fontId="7" fillId="5" borderId="1" xfId="3" applyFont="1" applyFill="1" applyBorder="1" applyAlignment="1">
      <alignment horizontal="center" vertical="center"/>
    </xf>
    <xf numFmtId="10" fontId="1" fillId="6" borderId="5" xfId="0" applyNumberFormat="1" applyFont="1" applyFill="1" applyBorder="1"/>
    <xf numFmtId="0" fontId="1" fillId="10" borderId="5" xfId="0" applyFont="1" applyFill="1" applyBorder="1"/>
    <xf numFmtId="10" fontId="1" fillId="11" borderId="5" xfId="0" applyNumberFormat="1" applyFont="1" applyFill="1" applyBorder="1"/>
    <xf numFmtId="10" fontId="1" fillId="9" borderId="5" xfId="0" applyNumberFormat="1" applyFont="1" applyFill="1" applyBorder="1"/>
    <xf numFmtId="10" fontId="1" fillId="12" borderId="5" xfId="0" applyNumberFormat="1" applyFont="1" applyFill="1" applyBorder="1"/>
    <xf numFmtId="0" fontId="1" fillId="12" borderId="5" xfId="0" applyFont="1" applyFill="1" applyBorder="1"/>
    <xf numFmtId="0" fontId="1" fillId="7" borderId="1" xfId="0" applyFont="1" applyFill="1" applyBorder="1" applyAlignment="1">
      <alignment horizontal="center" vertical="center" indent="1"/>
    </xf>
  </cellXfs>
  <cellStyles count="5">
    <cellStyle name="Currency" xfId="1" builtinId="4"/>
    <cellStyle name="Heading 1" xfId="4" builtinId="16" customBuiltin="1"/>
    <cellStyle name="Normal" xfId="0" builtinId="0" customBuiltin="1"/>
    <cellStyle name="Per cent" xfId="2" builtinId="5"/>
    <cellStyle name="Title" xfId="3" builtinId="15" customBuiltin="1"/>
  </cellStyles>
  <dxfs count="36"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righ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9" formatCode="dd/mm/yyyy"/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fill>
        <patternFill patternType="solid">
          <fgColor indexed="64"/>
          <bgColor theme="7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theme="8" tint="0.59996337778862885"/>
        </patternFill>
      </fill>
    </dxf>
    <dxf>
      <border>
        <horizontal style="thin">
          <color theme="1" tint="0.499984740745262"/>
        </horizontal>
      </border>
    </dxf>
  </dxfs>
  <tableStyles count="1" defaultTableStyle="Project To Do List" defaultPivotStyle="PivotStyleLight16">
    <tableStyle name="Project To Do List" pivot="0" count="2" xr9:uid="{00000000-0011-0000-FFFF-FFFF00000000}">
      <tableStyleElement type="wholeTable" dxfId="35"/>
      <tableStyleElement type="headerRow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oDoList" displayName="tblToDoList" ref="B7:K42" totalsRowCount="1" headerRowDxfId="23" dataDxfId="22" totalsRowDxfId="21" totalsRowBorderDxfId="20">
  <autoFilter ref="B7:K4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2" xr3:uid="{00000000-0010-0000-0000-000002000000}" name="Activity code" dataDxfId="18" totalsRowDxfId="19"/>
    <tableColumn id="7" xr3:uid="{00000000-0010-0000-0000-000007000000}" name="Περιγραφή" dataDxfId="16" totalsRowDxfId="17"/>
    <tableColumn id="4" xr3:uid="{00000000-0010-0000-0000-000004000000}" name="Sprint" dataDxfId="14" totalsRowDxfId="15"/>
    <tableColumn id="1" xr3:uid="{00000000-0010-0000-0000-000001000000}" name="Εκτίμηση σε ώρες" totalsRowFunction="sum" dataDxfId="12" totalsRowDxfId="13"/>
    <tableColumn id="6" xr3:uid="{00000000-0010-0000-0000-000006000000}" name="Ώρες που χρειάστηκαν / δαπανήθηκαν " totalsRowFunction="sum" dataDxfId="10" totalsRowDxfId="11"/>
    <tableColumn id="5" xr3:uid="{00000000-0010-0000-0000-000005000000}" name="Προτεραιότητα " dataDxfId="8" totalsRowDxfId="9"/>
    <tableColumn id="3" xr3:uid="{CC808B99-99CE-4502-86C5-3FD9036AA537}" name="έναρξη" dataDxfId="6" totalsRowDxfId="7"/>
    <tableColumn id="8" xr3:uid="{E18FB7A7-306E-4804-BD59-BB45D16E91EB}" name="Λήξη" dataDxfId="4" totalsRowDxfId="5"/>
    <tableColumn id="10" xr3:uid="{D6F25434-00BA-41AE-9956-BC149E133DA8}" name="Ποσοστό περάτωσης" dataDxfId="2" totalsRowDxfId="3"/>
    <tableColumn id="9" xr3:uid="{0860033A-E723-4CF0-BC5E-33B43CA458E6}" name="Πραγματικές ανθρωποώρες ανά ημέρα " dataDxfId="0" totalsRowDxfId="1"/>
  </tableColumns>
  <tableStyleInfo name="Project To Do List" showFirstColumn="0" showLastColumn="0" showRowStripes="1" showColumnStripes="0"/>
  <extLst>
    <ext xmlns:x14="http://schemas.microsoft.com/office/spreadsheetml/2009/9/main" uri="{504A1905-F514-4f6f-8877-14C23A59335A}">
      <x14:table altText="Project To Do List" altTextSummary="Stores project information such as, Activity, Due By, Budget, % Done, Progress, and Notes."/>
    </ext>
  </extLst>
</table>
</file>

<file path=xl/theme/theme1.xml><?xml version="1.0" encoding="utf-8"?>
<a:theme xmlns:a="http://schemas.openxmlformats.org/drawingml/2006/main" name="Office Theme">
  <a:themeElements>
    <a:clrScheme name="Project To Do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2DA3B8"/>
      </a:accent1>
      <a:accent2>
        <a:srgbClr val="FFCC00"/>
      </a:accent2>
      <a:accent3>
        <a:srgbClr val="E68102"/>
      </a:accent3>
      <a:accent4>
        <a:srgbClr val="27C760"/>
      </a:accent4>
      <a:accent5>
        <a:srgbClr val="E5629E"/>
      </a:accent5>
      <a:accent6>
        <a:srgbClr val="9D7EBC"/>
      </a:accent6>
      <a:hlink>
        <a:srgbClr val="0072FF"/>
      </a:hlink>
      <a:folHlink>
        <a:srgbClr val="9D7EBC"/>
      </a:folHlink>
    </a:clrScheme>
    <a:fontScheme name="Custom 55">
      <a:majorFont>
        <a:latin typeface="Postera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autoPageBreaks="0" fitToPage="1"/>
  </sheetPr>
  <dimension ref="A1:M109"/>
  <sheetViews>
    <sheetView tabSelected="1" topLeftCell="C3" zoomScaleNormal="100" workbookViewId="0">
      <selection activeCell="D7" sqref="D7"/>
    </sheetView>
  </sheetViews>
  <sheetFormatPr defaultColWidth="9.140625" defaultRowHeight="18.75" customHeight="1"/>
  <cols>
    <col min="1" max="1" width="6" style="10" customWidth="1"/>
    <col min="2" max="2" width="22" style="1" customWidth="1"/>
    <col min="3" max="3" width="100.85546875" style="3" customWidth="1"/>
    <col min="4" max="4" width="28.28515625" style="14" customWidth="1"/>
    <col min="5" max="5" width="25.5703125" style="2" customWidth="1"/>
    <col min="6" max="6" width="47.28515625" style="2" customWidth="1"/>
    <col min="7" max="7" width="21" style="1" customWidth="1"/>
    <col min="8" max="8" width="17.28515625" style="10" customWidth="1"/>
    <col min="9" max="9" width="13.85546875" style="10" customWidth="1"/>
    <col min="10" max="10" width="25" style="10" customWidth="1"/>
    <col min="11" max="11" width="58.28515625" style="10" customWidth="1"/>
    <col min="12" max="16384" width="9.140625" style="10"/>
  </cols>
  <sheetData>
    <row r="1" spans="1:12" ht="30" customHeight="1">
      <c r="B1" s="10"/>
      <c r="C1" s="10"/>
      <c r="D1" s="10"/>
      <c r="E1" s="10"/>
      <c r="F1" s="10"/>
      <c r="G1" s="10"/>
      <c r="H1" s="10" t="s">
        <v>0</v>
      </c>
    </row>
    <row r="2" spans="1:12" s="11" customFormat="1" ht="99.95" customHeight="1">
      <c r="B2" s="91" t="s">
        <v>1</v>
      </c>
      <c r="C2" s="91"/>
      <c r="D2" s="91"/>
      <c r="E2" s="91"/>
      <c r="F2" s="91"/>
      <c r="G2" s="91"/>
    </row>
    <row r="3" spans="1:12" ht="26.1" customHeight="1">
      <c r="B3" s="10"/>
      <c r="C3" s="10"/>
      <c r="D3" s="10"/>
      <c r="E3" s="10"/>
      <c r="F3" s="10"/>
      <c r="G3" s="10"/>
    </row>
    <row r="4" spans="1:12" ht="30" customHeight="1">
      <c r="B4" s="4" t="s">
        <v>2</v>
      </c>
      <c r="C4" s="5"/>
      <c r="D4" s="5"/>
      <c r="E4" s="6" t="s">
        <v>3</v>
      </c>
      <c r="F4" s="5"/>
      <c r="G4" s="4"/>
    </row>
    <row r="5" spans="1:12" s="12" customFormat="1" ht="30" customHeight="1">
      <c r="B5" s="7"/>
      <c r="C5" s="8"/>
      <c r="D5" s="8"/>
      <c r="E5" s="9">
        <v>46085</v>
      </c>
      <c r="F5" s="8"/>
      <c r="G5" s="7"/>
    </row>
    <row r="6" spans="1:12" s="12" customFormat="1" ht="60.95" customHeight="1">
      <c r="B6" s="13" t="s">
        <v>4</v>
      </c>
      <c r="C6" s="10"/>
      <c r="D6" s="10"/>
      <c r="E6" s="10"/>
      <c r="F6" s="10"/>
      <c r="G6" s="10"/>
      <c r="L6" s="80"/>
    </row>
    <row r="7" spans="1:12" ht="30" customHeight="1">
      <c r="A7" s="47" t="s">
        <v>5</v>
      </c>
      <c r="B7" s="48" t="s">
        <v>6</v>
      </c>
      <c r="C7" s="48" t="s">
        <v>7</v>
      </c>
      <c r="D7" s="98" t="s">
        <v>8</v>
      </c>
      <c r="E7" s="49" t="s">
        <v>9</v>
      </c>
      <c r="F7" s="49" t="s">
        <v>10</v>
      </c>
      <c r="G7" s="48" t="s">
        <v>11</v>
      </c>
      <c r="H7" s="50" t="s">
        <v>12</v>
      </c>
      <c r="I7" s="51" t="s">
        <v>13</v>
      </c>
      <c r="J7" s="82" t="s">
        <v>14</v>
      </c>
      <c r="K7" s="51" t="s">
        <v>15</v>
      </c>
      <c r="L7" s="43"/>
    </row>
    <row r="8" spans="1:12" ht="30" customHeight="1">
      <c r="A8" s="52"/>
      <c r="B8" s="53"/>
      <c r="C8" s="53"/>
      <c r="D8" s="54" t="s">
        <v>16</v>
      </c>
      <c r="E8" s="55"/>
      <c r="F8" s="55"/>
      <c r="G8" s="53"/>
      <c r="H8" s="56"/>
      <c r="I8" s="57"/>
      <c r="J8" s="83"/>
      <c r="K8" s="52"/>
      <c r="L8" s="43"/>
    </row>
    <row r="9" spans="1:12" ht="30" customHeight="1">
      <c r="A9" s="15">
        <v>1</v>
      </c>
      <c r="B9" s="16" t="s">
        <v>17</v>
      </c>
      <c r="C9" s="17" t="s">
        <v>18</v>
      </c>
      <c r="D9" s="18" t="s">
        <v>19</v>
      </c>
      <c r="E9" s="19">
        <v>8</v>
      </c>
      <c r="F9" s="19">
        <v>10</v>
      </c>
      <c r="G9" s="16" t="s">
        <v>20</v>
      </c>
      <c r="H9" s="20">
        <v>46054</v>
      </c>
      <c r="I9" s="20">
        <v>46054</v>
      </c>
      <c r="J9" s="92">
        <v>1</v>
      </c>
      <c r="K9" s="58" t="s">
        <v>21</v>
      </c>
      <c r="L9" s="43"/>
    </row>
    <row r="10" spans="1:12" ht="30" customHeight="1">
      <c r="A10" s="15">
        <v>2</v>
      </c>
      <c r="B10" s="16" t="s">
        <v>22</v>
      </c>
      <c r="C10" s="17" t="s">
        <v>23</v>
      </c>
      <c r="D10" s="18" t="s">
        <v>19</v>
      </c>
      <c r="E10" s="19">
        <v>8</v>
      </c>
      <c r="F10" s="19">
        <v>8</v>
      </c>
      <c r="G10" s="16" t="s">
        <v>20</v>
      </c>
      <c r="H10" s="20">
        <v>46055</v>
      </c>
      <c r="I10" s="20">
        <v>46055</v>
      </c>
      <c r="J10" s="92">
        <v>1</v>
      </c>
      <c r="K10" s="58" t="s">
        <v>24</v>
      </c>
      <c r="L10" s="43"/>
    </row>
    <row r="11" spans="1:12" ht="30" customHeight="1">
      <c r="A11" s="15">
        <v>3</v>
      </c>
      <c r="B11" s="16" t="s">
        <v>25</v>
      </c>
      <c r="C11" s="17" t="s">
        <v>26</v>
      </c>
      <c r="D11" s="18" t="s">
        <v>19</v>
      </c>
      <c r="E11" s="19">
        <v>4</v>
      </c>
      <c r="F11" s="19">
        <v>4</v>
      </c>
      <c r="G11" s="16" t="s">
        <v>20</v>
      </c>
      <c r="H11" s="20">
        <v>46056</v>
      </c>
      <c r="I11" s="20">
        <v>46056</v>
      </c>
      <c r="J11" s="92">
        <v>1</v>
      </c>
      <c r="K11" s="58" t="s">
        <v>27</v>
      </c>
      <c r="L11" s="43"/>
    </row>
    <row r="12" spans="1:12" ht="30" customHeight="1">
      <c r="A12" s="15">
        <v>3</v>
      </c>
      <c r="B12" s="16" t="s">
        <v>28</v>
      </c>
      <c r="C12" s="17" t="s">
        <v>29</v>
      </c>
      <c r="D12" s="18" t="s">
        <v>19</v>
      </c>
      <c r="E12" s="19">
        <v>16</v>
      </c>
      <c r="F12" s="19">
        <v>20</v>
      </c>
      <c r="G12" s="16" t="s">
        <v>20</v>
      </c>
      <c r="H12" s="21">
        <v>46058</v>
      </c>
      <c r="I12" s="21">
        <v>9</v>
      </c>
      <c r="J12" s="92">
        <v>0.8</v>
      </c>
      <c r="K12" s="58" t="s">
        <v>30</v>
      </c>
      <c r="L12" s="43"/>
    </row>
    <row r="13" spans="1:12" ht="30" customHeight="1">
      <c r="A13" s="15">
        <v>4</v>
      </c>
      <c r="B13" s="22" t="s">
        <v>31</v>
      </c>
      <c r="C13" s="23" t="s">
        <v>32</v>
      </c>
      <c r="D13" s="18" t="s">
        <v>19</v>
      </c>
      <c r="E13" s="24">
        <v>16</v>
      </c>
      <c r="F13" s="24">
        <v>20</v>
      </c>
      <c r="G13" s="22" t="s">
        <v>20</v>
      </c>
      <c r="H13" s="25">
        <v>46060</v>
      </c>
      <c r="I13" s="25">
        <v>46064</v>
      </c>
      <c r="J13" s="92">
        <v>0.75</v>
      </c>
      <c r="K13" s="58" t="s">
        <v>33</v>
      </c>
      <c r="L13" s="43"/>
    </row>
    <row r="14" spans="1:12" ht="30" customHeight="1">
      <c r="A14" s="15">
        <v>5</v>
      </c>
      <c r="B14" s="22" t="s">
        <v>34</v>
      </c>
      <c r="C14" s="23" t="s">
        <v>35</v>
      </c>
      <c r="D14" s="18" t="s">
        <v>19</v>
      </c>
      <c r="E14" s="24">
        <v>4</v>
      </c>
      <c r="F14" s="24">
        <v>4</v>
      </c>
      <c r="G14" s="22" t="s">
        <v>36</v>
      </c>
      <c r="H14" s="25">
        <v>46065</v>
      </c>
      <c r="I14" s="25">
        <v>46065</v>
      </c>
      <c r="J14" s="92">
        <v>1</v>
      </c>
      <c r="K14" s="58" t="s">
        <v>27</v>
      </c>
      <c r="L14" s="43"/>
    </row>
    <row r="15" spans="1:12" ht="30" customHeight="1">
      <c r="A15" s="15"/>
      <c r="B15" s="22"/>
      <c r="C15" s="23"/>
      <c r="D15" s="18"/>
      <c r="E15" s="24">
        <f>SUBTOTAL(109,E8:E14)</f>
        <v>56</v>
      </c>
      <c r="F15" s="24">
        <f>SUBTOTAL(109,F8:F14)</f>
        <v>66</v>
      </c>
      <c r="G15" s="22"/>
      <c r="H15" s="59"/>
      <c r="I15" s="59"/>
      <c r="J15" s="92"/>
      <c r="K15" s="58"/>
      <c r="L15" s="43"/>
    </row>
    <row r="16" spans="1:12" ht="30" customHeight="1">
      <c r="A16" s="60"/>
      <c r="B16" s="61"/>
      <c r="C16" s="62"/>
      <c r="D16" s="63" t="s">
        <v>37</v>
      </c>
      <c r="E16" s="64"/>
      <c r="F16" s="64"/>
      <c r="G16" s="61"/>
      <c r="H16" s="65"/>
      <c r="I16" s="65"/>
      <c r="J16" s="93"/>
      <c r="K16" s="65"/>
      <c r="L16" s="43"/>
    </row>
    <row r="17" spans="1:12" ht="30" customHeight="1">
      <c r="A17" s="15">
        <v>6</v>
      </c>
      <c r="B17" s="16" t="s">
        <v>38</v>
      </c>
      <c r="C17" s="17" t="s">
        <v>39</v>
      </c>
      <c r="D17" s="29" t="s">
        <v>40</v>
      </c>
      <c r="E17" s="19">
        <v>16</v>
      </c>
      <c r="F17" s="19">
        <v>12</v>
      </c>
      <c r="G17" s="16" t="s">
        <v>20</v>
      </c>
      <c r="H17" s="21">
        <v>46068</v>
      </c>
      <c r="I17" s="21">
        <v>46069</v>
      </c>
      <c r="J17" s="92">
        <v>1</v>
      </c>
      <c r="K17" s="58" t="s">
        <v>41</v>
      </c>
      <c r="L17" s="43"/>
    </row>
    <row r="18" spans="1:12" ht="30" customHeight="1">
      <c r="A18" s="26">
        <v>7</v>
      </c>
      <c r="B18" s="27" t="s">
        <v>42</v>
      </c>
      <c r="C18" s="28" t="s">
        <v>43</v>
      </c>
      <c r="D18" s="29" t="s">
        <v>40</v>
      </c>
      <c r="E18" s="30">
        <v>8</v>
      </c>
      <c r="F18" s="30">
        <v>8</v>
      </c>
      <c r="G18" s="27" t="s">
        <v>20</v>
      </c>
      <c r="H18" s="35">
        <v>46070</v>
      </c>
      <c r="I18" s="35">
        <v>46070</v>
      </c>
      <c r="J18" s="94">
        <v>1</v>
      </c>
      <c r="K18" s="66" t="s">
        <v>44</v>
      </c>
      <c r="L18" s="43"/>
    </row>
    <row r="19" spans="1:12" ht="30" customHeight="1">
      <c r="A19" s="26">
        <v>8</v>
      </c>
      <c r="B19" s="27" t="s">
        <v>45</v>
      </c>
      <c r="C19" s="28" t="s">
        <v>46</v>
      </c>
      <c r="D19" s="29" t="s">
        <v>40</v>
      </c>
      <c r="E19" s="30">
        <v>8</v>
      </c>
      <c r="F19" s="30">
        <v>8</v>
      </c>
      <c r="G19" s="27" t="s">
        <v>20</v>
      </c>
      <c r="H19" s="35">
        <v>46071</v>
      </c>
      <c r="I19" s="35">
        <v>46072</v>
      </c>
      <c r="J19" s="94">
        <v>1</v>
      </c>
      <c r="K19" s="66" t="s">
        <v>47</v>
      </c>
      <c r="L19" s="43"/>
    </row>
    <row r="20" spans="1:12" ht="30" customHeight="1">
      <c r="A20" s="26">
        <v>9</v>
      </c>
      <c r="B20" s="31" t="s">
        <v>48</v>
      </c>
      <c r="C20" s="32" t="s">
        <v>49</v>
      </c>
      <c r="D20" s="29" t="s">
        <v>40</v>
      </c>
      <c r="E20" s="33">
        <v>4</v>
      </c>
      <c r="F20" s="33">
        <v>4</v>
      </c>
      <c r="G20" s="31" t="s">
        <v>50</v>
      </c>
      <c r="H20" s="36">
        <v>46069</v>
      </c>
      <c r="I20" s="36">
        <v>46069</v>
      </c>
      <c r="J20" s="94">
        <v>1</v>
      </c>
      <c r="K20" s="66" t="s">
        <v>27</v>
      </c>
      <c r="L20" s="43"/>
    </row>
    <row r="21" spans="1:12" ht="30" customHeight="1">
      <c r="A21" s="26">
        <v>10</v>
      </c>
      <c r="B21" s="27" t="s">
        <v>51</v>
      </c>
      <c r="C21" s="28" t="s">
        <v>52</v>
      </c>
      <c r="D21" s="29" t="s">
        <v>40</v>
      </c>
      <c r="E21" s="30">
        <v>8</v>
      </c>
      <c r="F21" s="30">
        <v>8</v>
      </c>
      <c r="G21" s="27" t="s">
        <v>20</v>
      </c>
      <c r="H21" s="35">
        <v>46071</v>
      </c>
      <c r="I21" s="35">
        <v>46072</v>
      </c>
      <c r="J21" s="94">
        <v>1</v>
      </c>
      <c r="K21" s="66" t="s">
        <v>53</v>
      </c>
      <c r="L21" s="43"/>
    </row>
    <row r="22" spans="1:12" ht="30" customHeight="1">
      <c r="A22" s="26">
        <v>11</v>
      </c>
      <c r="B22" s="31" t="s">
        <v>54</v>
      </c>
      <c r="C22" s="32" t="s">
        <v>55</v>
      </c>
      <c r="D22" s="29" t="s">
        <v>40</v>
      </c>
      <c r="E22" s="33">
        <v>8</v>
      </c>
      <c r="F22" s="33">
        <v>8</v>
      </c>
      <c r="G22" s="31" t="s">
        <v>20</v>
      </c>
      <c r="H22" s="36">
        <v>46072</v>
      </c>
      <c r="I22" s="36">
        <v>46072</v>
      </c>
      <c r="J22" s="94">
        <v>1</v>
      </c>
      <c r="K22" s="66" t="s">
        <v>56</v>
      </c>
      <c r="L22" s="43"/>
    </row>
    <row r="23" spans="1:12" ht="30" customHeight="1">
      <c r="A23" s="26">
        <v>12</v>
      </c>
      <c r="B23" s="31" t="s">
        <v>57</v>
      </c>
      <c r="C23" s="32" t="s">
        <v>58</v>
      </c>
      <c r="D23" s="29" t="s">
        <v>40</v>
      </c>
      <c r="E23" s="33">
        <v>8</v>
      </c>
      <c r="F23" s="33">
        <v>8</v>
      </c>
      <c r="G23" s="31" t="s">
        <v>20</v>
      </c>
      <c r="H23" s="36">
        <v>46073</v>
      </c>
      <c r="I23" s="36">
        <v>46073</v>
      </c>
      <c r="J23" s="94">
        <v>1</v>
      </c>
      <c r="K23" s="66" t="s">
        <v>24</v>
      </c>
      <c r="L23" s="43"/>
    </row>
    <row r="24" spans="1:12" ht="30" customHeight="1">
      <c r="A24" s="26">
        <v>13</v>
      </c>
      <c r="B24" s="27" t="s">
        <v>59</v>
      </c>
      <c r="C24" s="28" t="s">
        <v>60</v>
      </c>
      <c r="D24" s="29" t="s">
        <v>40</v>
      </c>
      <c r="E24" s="30">
        <v>8</v>
      </c>
      <c r="F24" s="30">
        <v>8</v>
      </c>
      <c r="G24" s="27" t="s">
        <v>61</v>
      </c>
      <c r="H24" s="35">
        <v>46073</v>
      </c>
      <c r="I24" s="35">
        <v>46073</v>
      </c>
      <c r="J24" s="94">
        <v>1</v>
      </c>
      <c r="K24" s="66" t="s">
        <v>24</v>
      </c>
      <c r="L24" s="43"/>
    </row>
    <row r="25" spans="1:12" ht="30" customHeight="1">
      <c r="A25" s="26">
        <v>14</v>
      </c>
      <c r="B25" s="31" t="s">
        <v>62</v>
      </c>
      <c r="C25" s="32" t="s">
        <v>63</v>
      </c>
      <c r="D25" s="29" t="s">
        <v>40</v>
      </c>
      <c r="E25" s="34">
        <v>4</v>
      </c>
      <c r="F25" s="34">
        <v>6</v>
      </c>
      <c r="G25" s="31" t="s">
        <v>50</v>
      </c>
      <c r="H25" s="36">
        <v>46074</v>
      </c>
      <c r="I25" s="36">
        <v>46074</v>
      </c>
      <c r="J25" s="94">
        <v>1</v>
      </c>
      <c r="K25" s="66" t="s">
        <v>64</v>
      </c>
      <c r="L25" s="43"/>
    </row>
    <row r="26" spans="1:12" ht="30" customHeight="1">
      <c r="A26" s="26">
        <v>15</v>
      </c>
      <c r="B26" s="31" t="s">
        <v>65</v>
      </c>
      <c r="C26" s="32" t="s">
        <v>66</v>
      </c>
      <c r="D26" s="29" t="s">
        <v>40</v>
      </c>
      <c r="E26" s="34">
        <v>8</v>
      </c>
      <c r="F26" s="34">
        <v>8</v>
      </c>
      <c r="G26" s="31" t="s">
        <v>50</v>
      </c>
      <c r="H26" s="36">
        <v>46075</v>
      </c>
      <c r="I26" s="36">
        <v>46076</v>
      </c>
      <c r="J26" s="94">
        <v>1</v>
      </c>
      <c r="K26" s="66" t="s">
        <v>44</v>
      </c>
      <c r="L26" s="43"/>
    </row>
    <row r="27" spans="1:12" ht="30" customHeight="1">
      <c r="A27" s="26">
        <v>16</v>
      </c>
      <c r="B27" s="31" t="s">
        <v>67</v>
      </c>
      <c r="C27" s="32" t="s">
        <v>68</v>
      </c>
      <c r="D27" s="29" t="s">
        <v>40</v>
      </c>
      <c r="E27" s="34">
        <v>4</v>
      </c>
      <c r="F27" s="34">
        <v>4</v>
      </c>
      <c r="G27" s="31" t="s">
        <v>50</v>
      </c>
      <c r="H27" s="36">
        <v>46076</v>
      </c>
      <c r="I27" s="36">
        <v>46076</v>
      </c>
      <c r="J27" s="94">
        <v>1</v>
      </c>
      <c r="K27" s="66" t="s">
        <v>69</v>
      </c>
      <c r="L27" s="43"/>
    </row>
    <row r="28" spans="1:12" ht="30" customHeight="1">
      <c r="A28" s="26"/>
      <c r="B28" s="31"/>
      <c r="C28" s="32"/>
      <c r="D28" s="29"/>
      <c r="E28" s="34">
        <f>SUBTOTAL(109,E8:E27)</f>
        <v>140</v>
      </c>
      <c r="F28" s="34">
        <f>SUBTOTAL(109,F8:F27)</f>
        <v>148</v>
      </c>
      <c r="G28" s="31"/>
      <c r="H28" s="36"/>
      <c r="I28" s="36"/>
      <c r="J28" s="94"/>
      <c r="K28" s="66"/>
      <c r="L28" s="43"/>
    </row>
    <row r="29" spans="1:12" ht="30" customHeight="1">
      <c r="A29" s="67"/>
      <c r="B29" s="68"/>
      <c r="C29" s="69"/>
      <c r="D29" s="70" t="s">
        <v>70</v>
      </c>
      <c r="E29" s="71"/>
      <c r="F29" s="71"/>
      <c r="G29" s="68"/>
      <c r="H29" s="72"/>
      <c r="I29" s="72"/>
      <c r="J29" s="95"/>
      <c r="K29" s="72"/>
      <c r="L29" s="43"/>
    </row>
    <row r="30" spans="1:12" ht="30" customHeight="1">
      <c r="A30" s="37">
        <v>17</v>
      </c>
      <c r="B30" s="73" t="s">
        <v>71</v>
      </c>
      <c r="C30" s="74" t="s">
        <v>72</v>
      </c>
      <c r="D30" s="44" t="s">
        <v>73</v>
      </c>
      <c r="E30" s="75">
        <v>8</v>
      </c>
      <c r="F30" s="75">
        <v>8</v>
      </c>
      <c r="G30" s="73" t="s">
        <v>20</v>
      </c>
      <c r="H30" s="76">
        <v>46078</v>
      </c>
      <c r="I30" s="76">
        <v>46078</v>
      </c>
      <c r="J30" s="96">
        <v>1</v>
      </c>
      <c r="K30" s="77" t="s">
        <v>24</v>
      </c>
      <c r="L30" s="43"/>
    </row>
    <row r="31" spans="1:12" ht="30" customHeight="1">
      <c r="A31" s="37">
        <v>18</v>
      </c>
      <c r="B31" s="73" t="s">
        <v>74</v>
      </c>
      <c r="C31" s="74" t="s">
        <v>75</v>
      </c>
      <c r="D31" s="44" t="s">
        <v>73</v>
      </c>
      <c r="E31" s="75">
        <v>8</v>
      </c>
      <c r="F31" s="75">
        <v>8</v>
      </c>
      <c r="G31" s="73" t="s">
        <v>61</v>
      </c>
      <c r="H31" s="76">
        <v>46078</v>
      </c>
      <c r="I31" s="76">
        <v>46078</v>
      </c>
      <c r="J31" s="96">
        <v>1</v>
      </c>
      <c r="K31" s="77" t="s">
        <v>76</v>
      </c>
      <c r="L31" s="43"/>
    </row>
    <row r="32" spans="1:12" ht="30" customHeight="1">
      <c r="A32" s="37">
        <v>19</v>
      </c>
      <c r="B32" s="73" t="s">
        <v>77</v>
      </c>
      <c r="C32" s="74" t="s">
        <v>78</v>
      </c>
      <c r="D32" s="44" t="s">
        <v>73</v>
      </c>
      <c r="E32" s="75">
        <v>8</v>
      </c>
      <c r="F32" s="75">
        <v>8</v>
      </c>
      <c r="G32" s="73" t="s">
        <v>50</v>
      </c>
      <c r="H32" s="76">
        <v>46079</v>
      </c>
      <c r="I32" s="76">
        <v>46080</v>
      </c>
      <c r="J32" s="96">
        <v>1</v>
      </c>
      <c r="K32" s="77" t="s">
        <v>47</v>
      </c>
      <c r="L32" s="43"/>
    </row>
    <row r="33" spans="1:13" ht="30" customHeight="1">
      <c r="A33" s="37">
        <v>20</v>
      </c>
      <c r="B33" s="73" t="s">
        <v>79</v>
      </c>
      <c r="C33" s="74" t="s">
        <v>80</v>
      </c>
      <c r="D33" s="78" t="s">
        <v>73</v>
      </c>
      <c r="E33" s="75">
        <v>4</v>
      </c>
      <c r="F33" s="75">
        <v>4</v>
      </c>
      <c r="G33" s="73" t="s">
        <v>50</v>
      </c>
      <c r="H33" s="76">
        <v>46081</v>
      </c>
      <c r="I33" s="76">
        <v>46081</v>
      </c>
      <c r="J33" s="96">
        <v>1</v>
      </c>
      <c r="K33" s="77" t="s">
        <v>81</v>
      </c>
      <c r="L33" s="43"/>
    </row>
    <row r="34" spans="1:13" ht="30" customHeight="1">
      <c r="A34" s="37">
        <v>21</v>
      </c>
      <c r="B34" s="73" t="s">
        <v>79</v>
      </c>
      <c r="C34" s="74" t="s">
        <v>82</v>
      </c>
      <c r="D34" s="78" t="s">
        <v>73</v>
      </c>
      <c r="E34" s="75">
        <v>4</v>
      </c>
      <c r="F34" s="75">
        <v>4</v>
      </c>
      <c r="G34" s="73" t="s">
        <v>36</v>
      </c>
      <c r="H34" s="76">
        <v>46082</v>
      </c>
      <c r="I34" s="76">
        <v>46082</v>
      </c>
      <c r="J34" s="96">
        <v>1</v>
      </c>
      <c r="K34" s="77" t="s">
        <v>81</v>
      </c>
      <c r="L34" s="43"/>
    </row>
    <row r="35" spans="1:13" ht="30" customHeight="1">
      <c r="A35" s="37">
        <v>22</v>
      </c>
      <c r="B35" s="73" t="s">
        <v>83</v>
      </c>
      <c r="C35" s="74" t="s">
        <v>84</v>
      </c>
      <c r="D35" s="78" t="s">
        <v>73</v>
      </c>
      <c r="E35" s="75">
        <v>8</v>
      </c>
      <c r="F35" s="75">
        <v>8</v>
      </c>
      <c r="G35" s="73" t="s">
        <v>50</v>
      </c>
      <c r="H35" s="76">
        <v>46082</v>
      </c>
      <c r="I35" s="76">
        <v>46083</v>
      </c>
      <c r="J35" s="96">
        <v>1</v>
      </c>
      <c r="K35" s="77" t="s">
        <v>53</v>
      </c>
      <c r="L35" s="43"/>
    </row>
    <row r="36" spans="1:13" ht="30" customHeight="1">
      <c r="A36" s="37">
        <v>23</v>
      </c>
      <c r="B36" s="73" t="s">
        <v>85</v>
      </c>
      <c r="C36" s="74" t="s">
        <v>86</v>
      </c>
      <c r="D36" s="78" t="s">
        <v>73</v>
      </c>
      <c r="E36" s="75">
        <v>4</v>
      </c>
      <c r="F36" s="75">
        <v>4</v>
      </c>
      <c r="G36" s="73" t="s">
        <v>36</v>
      </c>
      <c r="H36" s="76">
        <v>46083</v>
      </c>
      <c r="I36" s="76">
        <v>46056</v>
      </c>
      <c r="J36" s="96">
        <v>1</v>
      </c>
      <c r="K36" s="77" t="s">
        <v>87</v>
      </c>
      <c r="L36" s="43"/>
    </row>
    <row r="37" spans="1:13" ht="30" customHeight="1">
      <c r="A37" s="37">
        <v>24</v>
      </c>
      <c r="B37" s="73" t="s">
        <v>88</v>
      </c>
      <c r="C37" s="74" t="s">
        <v>89</v>
      </c>
      <c r="D37" s="78" t="s">
        <v>73</v>
      </c>
      <c r="E37" s="75">
        <v>4</v>
      </c>
      <c r="F37" s="75">
        <v>4</v>
      </c>
      <c r="G37" s="73" t="s">
        <v>50</v>
      </c>
      <c r="H37" s="76">
        <v>46083</v>
      </c>
      <c r="I37" s="76">
        <v>46083</v>
      </c>
      <c r="J37" s="96">
        <v>1</v>
      </c>
      <c r="K37" s="77" t="s">
        <v>69</v>
      </c>
      <c r="L37" s="43"/>
    </row>
    <row r="38" spans="1:13" ht="30" customHeight="1">
      <c r="A38" s="37">
        <v>25</v>
      </c>
      <c r="B38" s="73" t="s">
        <v>90</v>
      </c>
      <c r="C38" s="74" t="s">
        <v>91</v>
      </c>
      <c r="D38" s="78" t="s">
        <v>73</v>
      </c>
      <c r="E38" s="75">
        <v>8</v>
      </c>
      <c r="F38" s="75">
        <v>8</v>
      </c>
      <c r="G38" s="73" t="s">
        <v>50</v>
      </c>
      <c r="H38" s="76">
        <v>46083</v>
      </c>
      <c r="I38" s="76">
        <v>46083</v>
      </c>
      <c r="J38" s="96">
        <v>1</v>
      </c>
      <c r="K38" s="77" t="s">
        <v>76</v>
      </c>
      <c r="L38" s="43"/>
    </row>
    <row r="39" spans="1:13" ht="30" customHeight="1">
      <c r="A39" s="37">
        <v>26</v>
      </c>
      <c r="B39" s="73" t="s">
        <v>92</v>
      </c>
      <c r="C39" s="74" t="s">
        <v>93</v>
      </c>
      <c r="D39" s="78" t="s">
        <v>73</v>
      </c>
      <c r="E39" s="75">
        <v>4</v>
      </c>
      <c r="F39" s="75">
        <v>4</v>
      </c>
      <c r="G39" s="73" t="s">
        <v>61</v>
      </c>
      <c r="H39" s="76">
        <v>46084</v>
      </c>
      <c r="I39" s="76">
        <v>46084</v>
      </c>
      <c r="J39" s="96">
        <v>1</v>
      </c>
      <c r="K39" s="77" t="s">
        <v>81</v>
      </c>
      <c r="L39" s="43"/>
    </row>
    <row r="40" spans="1:13" ht="30" customHeight="1">
      <c r="A40" s="37">
        <v>27</v>
      </c>
      <c r="B40" s="73" t="s">
        <v>94</v>
      </c>
      <c r="C40" s="74" t="s">
        <v>95</v>
      </c>
      <c r="D40" s="78" t="s">
        <v>73</v>
      </c>
      <c r="E40" s="75">
        <v>4</v>
      </c>
      <c r="F40" s="75">
        <v>4</v>
      </c>
      <c r="G40" s="73" t="s">
        <v>96</v>
      </c>
      <c r="H40" s="76">
        <v>46084</v>
      </c>
      <c r="I40" s="76">
        <v>46084</v>
      </c>
      <c r="J40" s="96">
        <v>1</v>
      </c>
      <c r="K40" s="77" t="s">
        <v>81</v>
      </c>
      <c r="L40" s="43"/>
    </row>
    <row r="41" spans="1:13" ht="30" customHeight="1">
      <c r="A41" s="42">
        <v>28</v>
      </c>
      <c r="B41" s="41" t="s">
        <v>97</v>
      </c>
      <c r="C41" s="38" t="s">
        <v>98</v>
      </c>
      <c r="D41" s="39" t="s">
        <v>73</v>
      </c>
      <c r="E41" s="40">
        <v>32</v>
      </c>
      <c r="F41" s="40">
        <v>32</v>
      </c>
      <c r="G41" s="41" t="s">
        <v>20</v>
      </c>
      <c r="H41" s="45">
        <v>46080</v>
      </c>
      <c r="I41" s="45">
        <v>46084</v>
      </c>
      <c r="J41" s="46">
        <v>1</v>
      </c>
      <c r="K41" s="77" t="s">
        <v>99</v>
      </c>
      <c r="L41" s="43"/>
    </row>
    <row r="42" spans="1:13" ht="30" customHeight="1">
      <c r="A42" s="37"/>
      <c r="B42" s="73"/>
      <c r="C42" s="74"/>
      <c r="D42" s="78"/>
      <c r="E42" s="75">
        <f ca="1">SUBTOTAL(109,tblToDoList[Εκτίμηση σε ώρες])</f>
        <v>236</v>
      </c>
      <c r="F42" s="75">
        <f ca="1">SUBTOTAL(109,tblToDoList[Ώρες που χρειάστηκαν / δαπανήθηκαν ])</f>
        <v>244</v>
      </c>
      <c r="G42" s="73"/>
      <c r="H42" s="37"/>
      <c r="I42" s="37"/>
      <c r="J42" s="97"/>
      <c r="K42" s="79"/>
      <c r="L42" s="81"/>
    </row>
    <row r="43" spans="1:13" ht="30" customHeight="1">
      <c r="A43" s="81"/>
      <c r="B43" s="84"/>
      <c r="C43" s="85"/>
      <c r="D43" s="88" t="s">
        <v>100</v>
      </c>
      <c r="E43" s="89">
        <v>236</v>
      </c>
      <c r="F43" s="90">
        <v>244</v>
      </c>
      <c r="G43" s="84"/>
      <c r="H43" s="43"/>
      <c r="I43" s="43"/>
      <c r="J43" s="43"/>
      <c r="K43" s="43"/>
      <c r="L43" s="43"/>
    </row>
    <row r="44" spans="1:13" ht="30" customHeight="1">
      <c r="A44" s="43"/>
      <c r="B44" s="84"/>
      <c r="C44" s="85"/>
      <c r="D44" s="86"/>
      <c r="E44" s="87"/>
      <c r="F44" s="87"/>
      <c r="G44" s="84"/>
      <c r="H44" s="43"/>
      <c r="I44" s="43"/>
      <c r="J44" s="43"/>
      <c r="K44" s="43"/>
      <c r="L44" s="43"/>
      <c r="M44" s="43"/>
    </row>
    <row r="45" spans="1:13" ht="30" customHeight="1">
      <c r="A45" s="43"/>
      <c r="B45" s="84"/>
      <c r="C45" s="85"/>
      <c r="D45" s="86"/>
      <c r="E45" s="87"/>
      <c r="F45" s="87"/>
      <c r="G45" s="84"/>
      <c r="H45" s="43"/>
      <c r="I45" s="43"/>
      <c r="J45" s="43"/>
      <c r="K45" s="43"/>
      <c r="L45" s="43"/>
      <c r="M45" s="43"/>
    </row>
    <row r="46" spans="1:13" ht="30" customHeight="1">
      <c r="A46" s="43"/>
      <c r="B46" s="84"/>
      <c r="C46" s="85"/>
      <c r="D46" s="86"/>
      <c r="E46" s="87"/>
      <c r="F46" s="87"/>
      <c r="G46" s="84"/>
      <c r="H46" s="43"/>
      <c r="I46" s="43"/>
      <c r="J46" s="43"/>
      <c r="K46" s="43"/>
      <c r="L46" s="43"/>
      <c r="M46" s="43"/>
    </row>
    <row r="47" spans="1:13" ht="30" customHeight="1"/>
    <row r="48" spans="1:13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</sheetData>
  <mergeCells count="1">
    <mergeCell ref="B2:G2"/>
  </mergeCells>
  <conditionalFormatting sqref="B8:G41">
    <cfRule type="expression" dxfId="33" priority="11">
      <formula>AND($C8&gt;=valHStart, $C8&lt;=valHEnd)</formula>
    </cfRule>
  </conditionalFormatting>
  <conditionalFormatting sqref="H9:H11">
    <cfRule type="expression" dxfId="32" priority="9">
      <formula>AND($C9&gt;=valHStart, $C9&lt;=valHEnd)</formula>
    </cfRule>
  </conditionalFormatting>
  <conditionalFormatting sqref="I9:I11">
    <cfRule type="expression" dxfId="31" priority="8">
      <formula>AND($C9&gt;=valHStart, $C9&lt;=valHEnd)</formula>
    </cfRule>
  </conditionalFormatting>
  <conditionalFormatting sqref="D25">
    <cfRule type="expression" dxfId="30" priority="7">
      <formula>AND($C25&gt;=valHStart, $C25&lt;=valHEnd)</formula>
    </cfRule>
  </conditionalFormatting>
  <conditionalFormatting sqref="D26">
    <cfRule type="expression" dxfId="29" priority="6">
      <formula>AND($C26&gt;=valHStart, $C26&lt;=valHEnd)</formula>
    </cfRule>
  </conditionalFormatting>
  <conditionalFormatting sqref="D33">
    <cfRule type="expression" dxfId="28" priority="5">
      <formula>AND($C33&gt;=valHStart, $C33&lt;=valHEnd)</formula>
    </cfRule>
  </conditionalFormatting>
  <conditionalFormatting sqref="D34">
    <cfRule type="expression" dxfId="27" priority="4">
      <formula>AND($C34&gt;=valHStart, $C34&lt;=valHEnd)</formula>
    </cfRule>
  </conditionalFormatting>
  <conditionalFormatting sqref="D35:D41">
    <cfRule type="expression" dxfId="26" priority="3">
      <formula>AND($C35&gt;=valHStart, $C35&lt;=valHEnd)</formula>
    </cfRule>
  </conditionalFormatting>
  <conditionalFormatting sqref="D36">
    <cfRule type="expression" dxfId="25" priority="2">
      <formula>AND($C36&gt;=valHStart, $C36&lt;=valHEnd)</formula>
    </cfRule>
  </conditionalFormatting>
  <conditionalFormatting sqref="D37">
    <cfRule type="expression" dxfId="24" priority="1">
      <formula>AND($C37&gt;=valHStart, $C37&lt;=valHEnd)</formula>
    </cfRule>
  </conditionalFormatting>
  <dataValidations count="13">
    <dataValidation type="list" allowBlank="1" showInputMessage="1" prompt="Select which period to automatically highlight using the dropdown in this cell._x000a__x000a_Dropdown options are auto generated using the Settings &amp; Calculations Tab." sqref="G5" xr:uid="{00000000-0002-0000-0000-000000000000}">
      <formula1>lstToDoHighlights</formula1>
    </dataValidation>
    <dataValidation type="list" allowBlank="1" sqref="F9:F24" xr:uid="{00000000-0002-0000-0000-000001000000}">
      <formula1>"0%,10%,20%,25%,30%,35%,40%,45%,50%,55%,60%,65%,70%,75%,80%,85%,90%,95%,100%"</formula1>
    </dataValidation>
    <dataValidation allowBlank="1" showInputMessage="1" showErrorMessage="1" prompt="Use this template to keep track of your To Do List for your project._x000a__x000a_Enter activities in the table below. Row will be highlighted based on selection in cell G5._x000a_" sqref="A1" xr:uid="{EEF73721-2F2D-4F08-9603-1D15DF71F893}"/>
    <dataValidation allowBlank="1" showInputMessage="1" showErrorMessage="1" prompt="Title of the worksheet is in this cell" sqref="B2:G2" xr:uid="{7754D0E4-1946-486F-B610-8E7B3FDE16FB}"/>
    <dataValidation allowBlank="1" showInputMessage="1" showErrorMessage="1" prompt="Enter name in this cell" sqref="B5" xr:uid="{AED8AA14-3825-4B4B-96E0-45C4A4552251}"/>
    <dataValidation allowBlank="1" showInputMessage="1" showErrorMessage="1" prompt="Enter project deadline in this cell" sqref="E5" xr:uid="{DADDE291-E87A-4EC2-BF3F-B17A579D228F}"/>
    <dataValidation allowBlank="1" showInputMessage="1" showErrorMessage="1" prompt="Enter project name in this cell" sqref="B6" xr:uid="{AD68667F-44E1-475E-958D-F9E89DCD65C6}"/>
    <dataValidation allowBlank="1" showInputMessage="1" showErrorMessage="1" prompt="Enter activity name in this column under this heading" sqref="B7:B8" xr:uid="{E36C98EB-DAB8-4911-B007-D406DD477ADA}"/>
    <dataValidation allowBlank="1" showInputMessage="1" showErrorMessage="1" prompt="Enter due date in this column under this heading" sqref="C7:C8" xr:uid="{CE26D4E0-2F21-4AFA-88A2-485369645B4B}"/>
    <dataValidation allowBlank="1" showInputMessage="1" showErrorMessage="1" prompt="Enter budget in this column under this heading" sqref="D7:D8" xr:uid="{8B7CBACD-A3AA-42BB-AB9D-794B2A4EE2B9}"/>
    <dataValidation allowBlank="1" showInputMessage="1" showErrorMessage="1" prompt="Enter progress percentage in this column under this heading" sqref="F7:F8" xr:uid="{E4F17B65-CE2D-4877-8C15-8CEDF9F8BB69}"/>
    <dataValidation allowBlank="1" showInputMessage="1" showErrorMessage="1" sqref="E7:E41" xr:uid="{2755D52C-6EE9-4103-B46A-50B41A329A5A}"/>
    <dataValidation allowBlank="1" showInputMessage="1" showErrorMessage="1" prompt="Enter notes in this column under this heading" sqref="G7:G8" xr:uid="{2979BFC6-287A-421D-8D8A-913AF66144C0}"/>
  </dataValidations>
  <printOptions horizontalCentered="1"/>
  <pageMargins left="0.25" right="0.25" top="0.75" bottom="0.75" header="0.3" footer="0.3"/>
  <pageSetup scale="68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C02396-02E5-4855-9EEB-E6D78D6179A2}"/>
</file>

<file path=customXml/itemProps2.xml><?xml version="1.0" encoding="utf-8"?>
<ds:datastoreItem xmlns:ds="http://schemas.openxmlformats.org/officeDocument/2006/customXml" ds:itemID="{76FDD323-8E7B-49B7-A576-85D534BC045A}"/>
</file>

<file path=customXml/itemProps3.xml><?xml version="1.0" encoding="utf-8"?>
<ds:datastoreItem xmlns:ds="http://schemas.openxmlformats.org/officeDocument/2006/customXml" ds:itemID="{AFC58ABA-4870-4323-82D0-EF10BC9FA681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TM02930042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2026-02-24T00:20:44Z</dcterms:created>
  <dcterms:modified xsi:type="dcterms:W3CDTF">2026-02-26T12:14:55Z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MediaServiceImageTags">
    <vt:lpwstr/>
  </property>
</Properties>
</file>